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ExternalFixator-BM2/Shared Documents/3D Printed Ex Fix _ Shared Folder/Design/iFix_3D/"/>
    </mc:Choice>
  </mc:AlternateContent>
  <xr:revisionPtr revIDLastSave="209" documentId="11_6989065581098C7D886C18D4995AAD24C4035BC0" xr6:coauthVersionLast="47" xr6:coauthVersionMax="47" xr10:uidLastSave="{454A224E-F16B-4786-A835-F9965A1DE6CD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H21" i="1"/>
  <c r="C7" i="1" s="1"/>
  <c r="I21" i="1" l="1"/>
  <c r="C8" i="1" s="1"/>
</calcChain>
</file>

<file path=xl/sharedStrings.xml><?xml version="1.0" encoding="utf-8"?>
<sst xmlns="http://schemas.openxmlformats.org/spreadsheetml/2006/main" count="51" uniqueCount="47">
  <si>
    <t>QTY.</t>
  </si>
  <si>
    <t>ITEM</t>
  </si>
  <si>
    <t>PART NUMBER</t>
  </si>
  <si>
    <t>PART NAME</t>
  </si>
  <si>
    <t>PART DESCRIPTION</t>
  </si>
  <si>
    <t>MATERIAL</t>
  </si>
  <si>
    <t>UNIT COST</t>
  </si>
  <si>
    <t>TOTAL COST</t>
  </si>
  <si>
    <t>iFix_3D</t>
  </si>
  <si>
    <t>Bill of Materials</t>
  </si>
  <si>
    <t>Assembly Name</t>
  </si>
  <si>
    <t>Assembly Revision</t>
  </si>
  <si>
    <t>Date of Approval</t>
  </si>
  <si>
    <t>Total Pieces</t>
  </si>
  <si>
    <t>Total Cost</t>
  </si>
  <si>
    <t>TOTAL</t>
  </si>
  <si>
    <t>iFix_3D Kit</t>
  </si>
  <si>
    <t>1.0.0</t>
  </si>
  <si>
    <t>ABS</t>
  </si>
  <si>
    <t>3D Printed Pin Clamp</t>
  </si>
  <si>
    <t>3D Printed Rod Clamp</t>
  </si>
  <si>
    <t>PinClamp</t>
  </si>
  <si>
    <t>RodClamp</t>
  </si>
  <si>
    <t>Schanz Pin</t>
  </si>
  <si>
    <t>Surgical bone pin</t>
  </si>
  <si>
    <t>SS 316</t>
  </si>
  <si>
    <t>1/2 inch diameter, 30cm long rod</t>
  </si>
  <si>
    <t>Hexagon Head Bolt</t>
  </si>
  <si>
    <t>Hexagon Nut</t>
  </si>
  <si>
    <t>Washer</t>
  </si>
  <si>
    <t>ISO 4032, M8</t>
  </si>
  <si>
    <t>Solid Rod</t>
  </si>
  <si>
    <t>HYW-M8-20-A2</t>
  </si>
  <si>
    <t>8mm ID, 20mm OD, 1.5mm thickness</t>
  </si>
  <si>
    <t>* Costs are calculated based on a purchase quantity of 1000</t>
  </si>
  <si>
    <t>* Costs therefore may be lower with higher quantities</t>
  </si>
  <si>
    <t>SOURCE</t>
  </si>
  <si>
    <t>Buy M8 x 20mm Penny Washers - Stainless Steel (A2) - Accu</t>
  </si>
  <si>
    <t>Buy M8 Hexagon Nuts (ISO 4032) - Marine Stainless Steel (A4) - Accu</t>
  </si>
  <si>
    <t>HPN-M8-V1-A4</t>
  </si>
  <si>
    <t>ISO 4017, M8, 55mm length</t>
  </si>
  <si>
    <t>Buy M8 x 55mm Full Thread Hexagon Bolts (ISO 4017) High Tensile Steel (A4-70) - Accu</t>
  </si>
  <si>
    <t>SEBF-M8-55-A4-70</t>
  </si>
  <si>
    <t>SS</t>
  </si>
  <si>
    <t>image of clamp setup</t>
  </si>
  <si>
    <t>* Printed costs are based on pure material costs, not including maintenance or upkeep</t>
  </si>
  <si>
    <t>* Material costs are estimated based on generic pre-manufactured reels, not virgin pellets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</si>
</sst>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4" fontId="0" fillId="0" borderId="0" xfId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left"/>
    </xf>
    <xf numFmtId="0" fontId="2" fillId="2" borderId="5" xfId="0" applyFont="1" applyFill="1" applyBorder="1" applyAlignment="1">
      <alignment horizontal="left" indent="1"/>
    </xf>
    <xf numFmtId="0" fontId="2" fillId="2" borderId="6" xfId="0" applyFont="1" applyFill="1" applyBorder="1" applyAlignment="1">
      <alignment horizontal="left" inden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7" xfId="0" applyBorder="1" applyAlignment="1">
      <alignment horizontal="left" indent="1"/>
    </xf>
    <xf numFmtId="0" fontId="0" fillId="0" borderId="1" xfId="0" applyBorder="1" applyAlignment="1">
      <alignment horizontal="left" indent="1"/>
    </xf>
    <xf numFmtId="14" fontId="0" fillId="0" borderId="8" xfId="0" applyNumberFormat="1" applyBorder="1" applyAlignment="1">
      <alignment horizontal="left" indent="1"/>
    </xf>
    <xf numFmtId="44" fontId="0" fillId="0" borderId="9" xfId="0" applyNumberFormat="1" applyBorder="1" applyAlignment="1">
      <alignment horizontal="left" indent="1"/>
    </xf>
    <xf numFmtId="0" fontId="3" fillId="0" borderId="0" xfId="2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11">
    <dxf>
      <alignment horizontal="left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7326A-16E4-4DBC-AD95-475962C56739}" name="Table1" displayName="Table1" ref="A10:I20" totalsRowShown="0" headerRowDxfId="10" dataDxfId="5">
  <tableColumns count="9">
    <tableColumn id="1" xr3:uid="{65E79DBC-A5BE-4F63-B515-613496830B26}" name="ITEM" dataDxfId="9"/>
    <tableColumn id="3" xr3:uid="{9DB7FA4A-88ED-4093-B061-5C0C279900A5}" name="MATERIAL" dataDxfId="8"/>
    <tableColumn id="4" xr3:uid="{B39AB758-9318-4433-901C-B08BB7E10349}" name="PART NUMBER" dataDxfId="7"/>
    <tableColumn id="5" xr3:uid="{4DB8D22F-4B25-4584-B729-3AFE7A3AF03F}" name="PART NAME" dataDxfId="4"/>
    <tableColumn id="6" xr3:uid="{8527247E-F577-403B-A357-14ECD7A252FD}" name="PART DESCRIPTION" dataDxfId="2"/>
    <tableColumn id="9" xr3:uid="{D2F6807B-6629-4790-864C-C75BA78715EB}" name="SOURCE" dataDxfId="0"/>
    <tableColumn id="7" xr3:uid="{595FA9B7-1438-4511-91DE-11541F79997E}" name="UNIT COST" dataDxfId="3" dataCellStyle="Currency"/>
    <tableColumn id="2" xr3:uid="{82093A87-C5F2-4280-B854-178F39AE9A60}" name="QTY." dataDxfId="6"/>
    <tableColumn id="8" xr3:uid="{D846D9CB-B336-49DD-99FE-7E1778E4F5A6}" name="TOTAL COST" dataDxfId="1" dataCellStyle="Currency">
      <calculatedColumnFormula>Table1[[#This Row],[QTY.]]*Table1[[#This Row],[UNIT COST]]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cu.co.uk/full-thread-hexagon-bolts/630507-SEBF-M8-55-A4-70" TargetMode="External"/><Relationship Id="rId2" Type="http://schemas.openxmlformats.org/officeDocument/2006/relationships/hyperlink" Target="https://www.accu.co.uk/hexagon-nuts/406395-HPN-M8-V1-A4" TargetMode="External"/><Relationship Id="rId1" Type="http://schemas.openxmlformats.org/officeDocument/2006/relationships/hyperlink" Target="https://www.accu.co.uk/metric-flat-washers/14669-HYW-M8-20-A2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B26" sqref="B26"/>
    </sheetView>
  </sheetViews>
  <sheetFormatPr defaultRowHeight="14.4" x14ac:dyDescent="0.3"/>
  <cols>
    <col min="1" max="1" width="6.21875" customWidth="1"/>
    <col min="2" max="2" width="14.109375" customWidth="1"/>
    <col min="3" max="3" width="18.88671875" customWidth="1"/>
    <col min="4" max="4" width="22.33203125" customWidth="1"/>
    <col min="5" max="5" width="55.77734375" customWidth="1"/>
    <col min="6" max="6" width="9.5546875" customWidth="1"/>
    <col min="7" max="7" width="11" customWidth="1"/>
    <col min="8" max="8" width="9.21875" customWidth="1"/>
    <col min="9" max="9" width="13.21875" customWidth="1"/>
    <col min="10" max="10" width="13" customWidth="1"/>
  </cols>
  <sheetData>
    <row r="1" spans="1:9" ht="14.4" customHeight="1" x14ac:dyDescent="0.3">
      <c r="A1" s="11" t="s">
        <v>8</v>
      </c>
      <c r="B1" s="12"/>
      <c r="C1" s="12"/>
      <c r="D1" s="19" t="s">
        <v>9</v>
      </c>
      <c r="E1" s="13"/>
      <c r="F1" s="13"/>
      <c r="G1" s="13"/>
      <c r="H1" s="13"/>
      <c r="I1" s="14"/>
    </row>
    <row r="2" spans="1:9" ht="14.4" customHeight="1" x14ac:dyDescent="0.3">
      <c r="A2" s="15"/>
      <c r="B2" s="16"/>
      <c r="C2" s="16"/>
      <c r="D2" s="20"/>
      <c r="E2" s="17"/>
      <c r="F2" s="17"/>
      <c r="G2" s="17"/>
      <c r="H2" s="17"/>
      <c r="I2" s="18"/>
    </row>
    <row r="3" spans="1:9" ht="15" thickBot="1" x14ac:dyDescent="0.35"/>
    <row r="4" spans="1:9" ht="15" thickBot="1" x14ac:dyDescent="0.35">
      <c r="A4" s="9" t="s">
        <v>10</v>
      </c>
      <c r="B4" s="10"/>
      <c r="C4" s="21" t="s">
        <v>16</v>
      </c>
      <c r="E4" s="26" t="s">
        <v>44</v>
      </c>
      <c r="F4" s="27"/>
      <c r="G4" s="27"/>
      <c r="H4" s="27"/>
      <c r="I4" s="28"/>
    </row>
    <row r="5" spans="1:9" ht="15" thickBot="1" x14ac:dyDescent="0.35">
      <c r="A5" s="9" t="s">
        <v>11</v>
      </c>
      <c r="B5" s="10"/>
      <c r="C5" s="22" t="s">
        <v>17</v>
      </c>
      <c r="E5" s="29"/>
      <c r="F5" s="30"/>
      <c r="G5" s="30"/>
      <c r="H5" s="30"/>
      <c r="I5" s="31"/>
    </row>
    <row r="6" spans="1:9" ht="15" thickBot="1" x14ac:dyDescent="0.35">
      <c r="A6" s="9" t="s">
        <v>12</v>
      </c>
      <c r="B6" s="10"/>
      <c r="C6" s="23">
        <v>45896</v>
      </c>
      <c r="E6" s="29"/>
      <c r="F6" s="30"/>
      <c r="G6" s="30"/>
      <c r="H6" s="30"/>
      <c r="I6" s="31"/>
    </row>
    <row r="7" spans="1:9" ht="15" thickBot="1" x14ac:dyDescent="0.35">
      <c r="A7" s="9" t="s">
        <v>13</v>
      </c>
      <c r="B7" s="10"/>
      <c r="C7" s="22">
        <f>H21</f>
        <v>25</v>
      </c>
      <c r="E7" s="29"/>
      <c r="F7" s="30"/>
      <c r="G7" s="30"/>
      <c r="H7" s="30"/>
      <c r="I7" s="31"/>
    </row>
    <row r="8" spans="1:9" ht="15" thickBot="1" x14ac:dyDescent="0.35">
      <c r="A8" s="9" t="s">
        <v>14</v>
      </c>
      <c r="B8" s="10"/>
      <c r="C8" s="24">
        <f>I21</f>
        <v>9.48</v>
      </c>
      <c r="E8" s="32"/>
      <c r="F8" s="33"/>
      <c r="G8" s="33"/>
      <c r="H8" s="33"/>
      <c r="I8" s="34"/>
    </row>
    <row r="10" spans="1:9" x14ac:dyDescent="0.3">
      <c r="A10" s="2" t="s">
        <v>1</v>
      </c>
      <c r="B10" s="2" t="s">
        <v>5</v>
      </c>
      <c r="C10" s="2" t="s">
        <v>2</v>
      </c>
      <c r="D10" s="2" t="s">
        <v>3</v>
      </c>
      <c r="E10" s="2" t="s">
        <v>4</v>
      </c>
      <c r="F10" s="2" t="s">
        <v>36</v>
      </c>
      <c r="G10" s="2" t="s">
        <v>6</v>
      </c>
      <c r="H10" s="2" t="s">
        <v>0</v>
      </c>
      <c r="I10" s="7" t="s">
        <v>7</v>
      </c>
    </row>
    <row r="11" spans="1:9" x14ac:dyDescent="0.3">
      <c r="A11" s="1">
        <v>1</v>
      </c>
      <c r="B11" s="1" t="s">
        <v>18</v>
      </c>
      <c r="C11" s="1"/>
      <c r="D11" s="1" t="s">
        <v>21</v>
      </c>
      <c r="E11" s="8" t="s">
        <v>19</v>
      </c>
      <c r="F11" s="8"/>
      <c r="G11" s="3">
        <v>0.41</v>
      </c>
      <c r="H11" s="1">
        <v>4</v>
      </c>
      <c r="I11" s="3">
        <f>Table1[[#This Row],[QTY.]]*Table1[[#This Row],[UNIT COST]]</f>
        <v>1.64</v>
      </c>
    </row>
    <row r="12" spans="1:9" x14ac:dyDescent="0.3">
      <c r="A12" s="1">
        <v>2</v>
      </c>
      <c r="B12" s="1" t="s">
        <v>18</v>
      </c>
      <c r="C12" s="1"/>
      <c r="D12" s="1" t="s">
        <v>22</v>
      </c>
      <c r="E12" s="8" t="s">
        <v>20</v>
      </c>
      <c r="F12" s="8"/>
      <c r="G12" s="3">
        <v>0.85</v>
      </c>
      <c r="H12" s="1">
        <v>4</v>
      </c>
      <c r="I12" s="3">
        <f>Table1[[#This Row],[QTY.]]*Table1[[#This Row],[UNIT COST]]</f>
        <v>3.4</v>
      </c>
    </row>
    <row r="13" spans="1:9" x14ac:dyDescent="0.3">
      <c r="A13" s="1">
        <v>3</v>
      </c>
      <c r="B13" s="1" t="s">
        <v>43</v>
      </c>
      <c r="C13" s="1"/>
      <c r="D13" s="1" t="s">
        <v>23</v>
      </c>
      <c r="E13" s="8" t="s">
        <v>24</v>
      </c>
      <c r="F13" s="8"/>
      <c r="G13" s="3"/>
      <c r="H13" s="1">
        <v>4</v>
      </c>
      <c r="I13" s="3">
        <f>Table1[[#This Row],[QTY.]]*Table1[[#This Row],[UNIT COST]]</f>
        <v>0</v>
      </c>
    </row>
    <row r="14" spans="1:9" x14ac:dyDescent="0.3">
      <c r="A14" s="1">
        <v>4</v>
      </c>
      <c r="B14" s="1" t="s">
        <v>25</v>
      </c>
      <c r="C14" s="1"/>
      <c r="D14" s="1" t="s">
        <v>31</v>
      </c>
      <c r="E14" s="8" t="s">
        <v>26</v>
      </c>
      <c r="F14" s="8"/>
      <c r="G14" s="3"/>
      <c r="H14" s="1">
        <v>1</v>
      </c>
      <c r="I14" s="3">
        <f>Table1[[#This Row],[QTY.]]*Table1[[#This Row],[UNIT COST]]</f>
        <v>0</v>
      </c>
    </row>
    <row r="15" spans="1:9" x14ac:dyDescent="0.3">
      <c r="A15" s="1">
        <v>5</v>
      </c>
      <c r="B15" s="1" t="s">
        <v>25</v>
      </c>
      <c r="C15" s="1" t="s">
        <v>42</v>
      </c>
      <c r="D15" s="1" t="s">
        <v>27</v>
      </c>
      <c r="E15" s="8" t="s">
        <v>40</v>
      </c>
      <c r="F15" s="25" t="s">
        <v>41</v>
      </c>
      <c r="G15" s="3">
        <v>0.89</v>
      </c>
      <c r="H15" s="1">
        <v>4</v>
      </c>
      <c r="I15" s="3">
        <f>Table1[[#This Row],[QTY.]]*Table1[[#This Row],[UNIT COST]]</f>
        <v>3.56</v>
      </c>
    </row>
    <row r="16" spans="1:9" x14ac:dyDescent="0.3">
      <c r="A16" s="1">
        <v>6</v>
      </c>
      <c r="B16" s="1" t="s">
        <v>25</v>
      </c>
      <c r="C16" s="1" t="s">
        <v>39</v>
      </c>
      <c r="D16" s="1" t="s">
        <v>28</v>
      </c>
      <c r="E16" s="8" t="s">
        <v>30</v>
      </c>
      <c r="F16" s="25" t="s">
        <v>38</v>
      </c>
      <c r="G16" s="3">
        <v>0.16</v>
      </c>
      <c r="H16" s="1">
        <v>4</v>
      </c>
      <c r="I16" s="3">
        <f>Table1[[#This Row],[QTY.]]*Table1[[#This Row],[UNIT COST]]</f>
        <v>0.64</v>
      </c>
    </row>
    <row r="17" spans="1:9" x14ac:dyDescent="0.3">
      <c r="A17" s="1">
        <v>7</v>
      </c>
      <c r="B17" s="1" t="s">
        <v>25</v>
      </c>
      <c r="C17" s="1" t="s">
        <v>32</v>
      </c>
      <c r="D17" s="1" t="s">
        <v>29</v>
      </c>
      <c r="E17" s="8" t="s">
        <v>33</v>
      </c>
      <c r="F17" s="25" t="s">
        <v>37</v>
      </c>
      <c r="G17" s="3">
        <v>0.06</v>
      </c>
      <c r="H17" s="1">
        <v>4</v>
      </c>
      <c r="I17" s="3">
        <f>Table1[[#This Row],[QTY.]]*Table1[[#This Row],[UNIT COST]]</f>
        <v>0.24</v>
      </c>
    </row>
    <row r="18" spans="1:9" x14ac:dyDescent="0.3">
      <c r="A18" s="1">
        <v>8</v>
      </c>
      <c r="B18" s="1"/>
      <c r="C18" s="1"/>
      <c r="D18" s="1"/>
      <c r="E18" s="8"/>
      <c r="F18" s="8"/>
      <c r="G18" s="3"/>
      <c r="H18" s="1"/>
      <c r="I18" s="3">
        <f>Table1[[#This Row],[QTY.]]*Table1[[#This Row],[UNIT COST]]</f>
        <v>0</v>
      </c>
    </row>
    <row r="19" spans="1:9" x14ac:dyDescent="0.3">
      <c r="A19" s="1">
        <v>9</v>
      </c>
      <c r="B19" s="1"/>
      <c r="C19" s="1"/>
      <c r="D19" s="1"/>
      <c r="E19" s="8"/>
      <c r="F19" s="8"/>
      <c r="G19" s="3"/>
      <c r="H19" s="1"/>
      <c r="I19" s="3">
        <f>Table1[[#This Row],[QTY.]]*Table1[[#This Row],[UNIT COST]]</f>
        <v>0</v>
      </c>
    </row>
    <row r="20" spans="1:9" ht="15" thickBot="1" x14ac:dyDescent="0.35">
      <c r="A20" s="1">
        <v>10</v>
      </c>
      <c r="B20" s="1"/>
      <c r="C20" s="1"/>
      <c r="D20" s="1"/>
      <c r="E20" s="8"/>
      <c r="F20" s="8"/>
      <c r="G20" s="3"/>
      <c r="H20" s="1"/>
      <c r="I20" s="3">
        <f>Table1[[#This Row],[QTY.]]*Table1[[#This Row],[UNIT COST]]</f>
        <v>0</v>
      </c>
    </row>
    <row r="21" spans="1:9" ht="15" thickBot="1" x14ac:dyDescent="0.35">
      <c r="G21" s="4" t="s">
        <v>15</v>
      </c>
      <c r="H21" s="5">
        <f>SUM(Table1[QTY.])</f>
        <v>25</v>
      </c>
      <c r="I21" s="6">
        <f>SUM(Table1[TOTAL COST])</f>
        <v>9.48</v>
      </c>
    </row>
    <row r="24" spans="1:9" x14ac:dyDescent="0.3">
      <c r="B24" t="s">
        <v>34</v>
      </c>
    </row>
    <row r="25" spans="1:9" x14ac:dyDescent="0.3">
      <c r="B25" t="s">
        <v>35</v>
      </c>
    </row>
    <row r="27" spans="1:9" x14ac:dyDescent="0.3">
      <c r="B27" t="s">
        <v>45</v>
      </c>
    </row>
    <row r="28" spans="1:9" x14ac:dyDescent="0.3">
      <c r="B28" t="s">
        <v>46</v>
      </c>
    </row>
  </sheetData>
  <mergeCells count="8">
    <mergeCell ref="A1:C2"/>
    <mergeCell ref="A8:B8"/>
    <mergeCell ref="A7:B7"/>
    <mergeCell ref="A6:B6"/>
    <mergeCell ref="A5:B5"/>
    <mergeCell ref="A4:B4"/>
    <mergeCell ref="E4:I8"/>
    <mergeCell ref="D1:I2"/>
  </mergeCells>
  <hyperlinks>
    <hyperlink ref="F17" r:id="rId1" display="https://www.accu.co.uk/metric-flat-washers/14669-HYW-M8-20-A2" xr:uid="{E2D75C01-69B5-4589-A625-71F56EB77D52}"/>
    <hyperlink ref="F16" r:id="rId2" display="https://www.accu.co.uk/hexagon-nuts/406395-HPN-M8-V1-A4" xr:uid="{B28FF56C-3A26-40D1-A9A7-112DA4A8597E}"/>
    <hyperlink ref="F15" r:id="rId3" display="https://www.accu.co.uk/full-thread-hexagon-bolts/630507-SEBF-M8-55-A4-70" xr:uid="{CB760D60-7F24-4FAF-AD6A-9D62B58C9AAF}"/>
  </hyperlinks>
  <pageMargins left="0.7" right="0.7" top="0.75" bottom="0.75" header="0.3" footer="0.3"/>
  <pageSetup orientation="portrait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8c45f-cebe-4509-9066-0257869280d0" xsi:nil="true"/>
    <lcf76f155ced4ddcb4097134ff3c332f xmlns="3e1f64af-336a-4cd0-ac0d-fe3d4e694e8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51508F35EA984B89BFC0F6DE5C8782" ma:contentTypeVersion="12" ma:contentTypeDescription="Create a new document." ma:contentTypeScope="" ma:versionID="62a237a457c373f5131e8eb68765dbeb">
  <xsd:schema xmlns:xsd="http://www.w3.org/2001/XMLSchema" xmlns:xs="http://www.w3.org/2001/XMLSchema" xmlns:p="http://schemas.microsoft.com/office/2006/metadata/properties" xmlns:ns2="3e1f64af-336a-4cd0-ac0d-fe3d4e694e88" xmlns:ns3="bd28c45f-cebe-4509-9066-0257869280d0" targetNamespace="http://schemas.microsoft.com/office/2006/metadata/properties" ma:root="true" ma:fieldsID="18cc484d985d039046b6b51bb5963ae1" ns2:_="" ns3:_="">
    <xsd:import namespace="3e1f64af-336a-4cd0-ac0d-fe3d4e694e88"/>
    <xsd:import namespace="bd28c45f-cebe-4509-9066-025786928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64af-336a-4cd0-ac0d-fe3d4e694e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8c45f-cebe-4509-9066-0257869280d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2a31b77-1579-4c18-8678-ad540bb64313}" ma:internalName="TaxCatchAll" ma:showField="CatchAllData" ma:web="bd28c45f-cebe-4509-9066-0257869280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D96DD7-8762-43E7-B5A3-A874F4E52DF6}">
  <ds:schemaRefs>
    <ds:schemaRef ds:uri="http://schemas.microsoft.com/office/2006/metadata/properties"/>
    <ds:schemaRef ds:uri="http://schemas.microsoft.com/office/infopath/2007/PartnerControls"/>
    <ds:schemaRef ds:uri="bd28c45f-cebe-4509-9066-0257869280d0"/>
    <ds:schemaRef ds:uri="3e1f64af-336a-4cd0-ac0d-fe3d4e694e88"/>
  </ds:schemaRefs>
</ds:datastoreItem>
</file>

<file path=customXml/itemProps2.xml><?xml version="1.0" encoding="utf-8"?>
<ds:datastoreItem xmlns:ds="http://schemas.openxmlformats.org/officeDocument/2006/customXml" ds:itemID="{015CEFCB-90FA-416F-BE20-8A29348E82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CC93B5-18E0-478B-B004-4068AA3895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f64af-336a-4cd0-ac0d-fe3d4e694e88"/>
    <ds:schemaRef ds:uri="bd28c45f-cebe-4509-9066-025786928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Angus B</dc:creator>
  <cp:lastModifiedBy>Clark, Angus B</cp:lastModifiedBy>
  <dcterms:created xsi:type="dcterms:W3CDTF">2015-06-05T18:17:20Z</dcterms:created>
  <dcterms:modified xsi:type="dcterms:W3CDTF">2025-08-29T17:05:25Z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0x0101002F51508F35EA984B89BFC0F6DE5C8782</vt:lpwstr>
  </property>
  <property fmtid="{D5CDD505-2E9C-101B-9397-08002B2CF9AE}" pid="3" name="MediaServiceImageTags">
    <vt:lpwstr/>
  </property>
</Properties>
</file>